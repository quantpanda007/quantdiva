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00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Relative path reference only; does not verify that folder/files exist.</t>
        </r>
      </text>
    </comment>
  </commentList>
</comments>
</file>

<file path=xl/sharedStrings.xml><?xml version="1.0" encoding="utf-8"?>
<sst xmlns="http://schemas.openxmlformats.org/spreadsheetml/2006/main" count="104" uniqueCount="89">
  <si>
    <t xml:space="preserve">OPTIMA | IRS TEST CASE INPUTS</t>
  </si>
  <si>
    <t xml:space="preserve">One worksheet = one test case. Market data is external: market_data/&lt;valuation_date&gt;/&lt;currency&gt;/.</t>
  </si>
  <si>
    <t xml:space="preserve">TRADE DETAILS</t>
  </si>
  <si>
    <t xml:space="preserve">Trade ID</t>
  </si>
  <si>
    <t xml:space="preserve">SLLSL9RR</t>
  </si>
  <si>
    <t xml:space="preserve">Currency</t>
  </si>
  <si>
    <t xml:space="preserve">USD</t>
  </si>
  <si>
    <t xml:space="preserve">Trade currency.</t>
  </si>
  <si>
    <t xml:space="preserve">Notional</t>
  </si>
  <si>
    <t xml:space="preserve">Trade notional amount.</t>
  </si>
  <si>
    <t xml:space="preserve">currency units</t>
  </si>
  <si>
    <t xml:space="preserve">Effective Date</t>
  </si>
  <si>
    <t xml:space="preserve">Trade effective date.</t>
  </si>
  <si>
    <t xml:space="preserve">date</t>
  </si>
  <si>
    <t xml:space="preserve">Maturity Date</t>
  </si>
  <si>
    <t xml:space="preserve">Contractual maturity date.</t>
  </si>
  <si>
    <t xml:space="preserve">Valuation Date</t>
  </si>
  <si>
    <t xml:space="preserve">Determines the market-data folder.</t>
  </si>
  <si>
    <t xml:space="preserve">SWAP LEGS — FIXED LEG</t>
  </si>
  <si>
    <t xml:space="preserve">Direction</t>
  </si>
  <si>
    <t xml:space="preserve">Pay</t>
  </si>
  <si>
    <t xml:space="preserve">Fixed Rate</t>
  </si>
  <si>
    <t xml:space="preserve">Enter as percentage, e.g. 4.00%.</t>
  </si>
  <si>
    <t xml:space="preserve">%</t>
  </si>
  <si>
    <t xml:space="preserve">Payment Frequency</t>
  </si>
  <si>
    <t xml:space="preserve">Annual</t>
  </si>
  <si>
    <t xml:space="preserve">Day Count</t>
  </si>
  <si>
    <t xml:space="preserve">ACT/360</t>
  </si>
  <si>
    <t xml:space="preserve">Business Day Convention</t>
  </si>
  <si>
    <t xml:space="preserve">Modified Following</t>
  </si>
  <si>
    <t xml:space="preserve">Payment Calendar</t>
  </si>
  <si>
    <t xml:space="preserve">FD</t>
  </si>
  <si>
    <t xml:space="preserve">SWAP LEGS — FLOATING LEG</t>
  </si>
  <si>
    <t xml:space="preserve">Receive</t>
  </si>
  <si>
    <t xml:space="preserve">Benchmark</t>
  </si>
  <si>
    <t xml:space="preserve">SOFR</t>
  </si>
  <si>
    <t xml:space="preserve">Index Tenor</t>
  </si>
  <si>
    <t xml:space="preserve">1D</t>
  </si>
  <si>
    <t xml:space="preserve">Spread</t>
  </si>
  <si>
    <t xml:space="preserve">Enter basis points, e.g. 20 for 20 bp.</t>
  </si>
  <si>
    <t xml:space="preserve">bp</t>
  </si>
  <si>
    <t xml:space="preserve">Leverage</t>
  </si>
  <si>
    <t xml:space="preserve">Multiplier on the benchmark rate, e.g. 1.00.</t>
  </si>
  <si>
    <t xml:space="preserve">multiplier</t>
  </si>
  <si>
    <t xml:space="preserve">Reset Frequency</t>
  </si>
  <si>
    <t xml:space="preserve">Daily</t>
  </si>
  <si>
    <t xml:space="preserve">Calendar</t>
  </si>
  <si>
    <t xml:space="preserve">Calendar code for accrual and payment dates: FD, SZ, JN or RB.</t>
  </si>
  <si>
    <t xml:space="preserve">Rate Timing</t>
  </si>
  <si>
    <t xml:space="preserve">In Arrears</t>
  </si>
  <si>
    <t xml:space="preserve">Lookback</t>
  </si>
  <si>
    <t xml:space="preserve">days</t>
  </si>
  <si>
    <t xml:space="preserve">Lookback Type</t>
  </si>
  <si>
    <t xml:space="preserve">Only Lookback is supported by the engine.</t>
  </si>
  <si>
    <t xml:space="preserve">Rate Cutoff</t>
  </si>
  <si>
    <t xml:space="preserve">Compounding</t>
  </si>
  <si>
    <t xml:space="preserve">Daily Compounded</t>
  </si>
  <si>
    <t xml:space="preserve">Spread Treatment</t>
  </si>
  <si>
    <t xml:space="preserve">Exclude Spread</t>
  </si>
  <si>
    <t xml:space="preserve">NOTIONAL &amp; AMORTISATION</t>
  </si>
  <si>
    <t xml:space="preserve">Principal Exchange</t>
  </si>
  <si>
    <t xml:space="preserve">Never</t>
  </si>
  <si>
    <t xml:space="preserve">Amortisation Type</t>
  </si>
  <si>
    <t xml:space="preserve">Custom Schedule</t>
  </si>
  <si>
    <t xml:space="preserve">Percentage per Period is not yet supported (base of the % not yet agreed).</t>
  </si>
  <si>
    <t xml:space="preserve">Amortisation Schedule</t>
  </si>
  <si>
    <t xml:space="preserve">Period</t>
  </si>
  <si>
    <t xml:space="preserve">End Date</t>
  </si>
  <si>
    <t xml:space="preserve">Payment Date</t>
  </si>
  <si>
    <t xml:space="preserve">Amortisation (%)</t>
  </si>
  <si>
    <t xml:space="preserve">Amortisation Amount</t>
  </si>
  <si>
    <t xml:space="preserve">Action</t>
  </si>
  <si>
    <t xml:space="preserve">MARKET DATA REFERENCE</t>
  </si>
  <si>
    <t xml:space="preserve">Curve</t>
  </si>
  <si>
    <t xml:space="preserve">USD SOFR</t>
  </si>
  <si>
    <t xml:space="preserve">e.g. USD SOFR, CHF SARON, JPY TONAR, INR OIS.</t>
  </si>
  <si>
    <t xml:space="preserve">Snapshot Folder</t>
  </si>
  <si>
    <t xml:space="preserve">Generated from Valuation Date and Currency.</t>
  </si>
  <si>
    <t xml:space="preserve">relative path</t>
  </si>
  <si>
    <t xml:space="preserve">Curve Source File</t>
  </si>
  <si>
    <t xml:space="preserve">usd_sofr_2026-03-31.json</t>
  </si>
  <si>
    <t xml:space="preserve">Filename within snapshot folder.</t>
  </si>
  <si>
    <t xml:space="preserve">Fixings Source File</t>
  </si>
  <si>
    <t xml:space="preserve">Filename in market_data/&lt;valuation_date&gt;/ (shared, date level), if applicable.</t>
  </si>
  <si>
    <t xml:space="preserve">Reference Date</t>
  </si>
  <si>
    <t xml:space="preserve">Curve reference date if different from valuation date.</t>
  </si>
  <si>
    <t xml:space="preserve">Interpolation</t>
  </si>
  <si>
    <t xml:space="preserve">Piecewise Linear (Cont)</t>
  </si>
  <si>
    <t xml:space="preserve">Interpolation of the prepared snapshot; checked against it, never applied.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</si>
</sst>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yyyy\-mm\-dd"/>
    <numFmt numFmtId="167" formatCode="0.0000%"/>
    <numFmt numFmtId="168" formatCode="0.00"/>
    <numFmt numFmtId="169" formatCode="0"/>
    <numFmt numFmtId="170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17365D"/>
      <name val="Cambria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1F4E78"/>
        <bgColor rgb="FF17365D"/>
      </patternFill>
    </fill>
    <fill>
      <patternFill patternType="solid">
        <fgColor rgb="FFFFF2CC"/>
        <bgColor rgb="FFFFFFFF"/>
      </patternFill>
    </fill>
    <fill>
      <patternFill patternType="solid">
        <fgColor rgb="FFD9EA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A1:H6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7"/>
    <col collapsed="false" customWidth="true" hidden="false" outlineLevel="0" max="3" min="3" style="0" width="48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7"/>
    <col collapsed="false" customWidth="true" hidden="false" outlineLevel="0" max="7" min="7" style="0" width="19"/>
    <col collapsed="false" customWidth="true" hidden="false" outlineLevel="0" max="8" min="8" style="0" width="3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B5" s="5" t="s">
        <v>4</v>
      </c>
      <c r="C5" s="6"/>
      <c r="D5" s="6"/>
    </row>
    <row r="6" customFormat="false" ht="15" hidden="false" customHeight="false" outlineLevel="0" collapsed="false">
      <c r="A6" s="4" t="s">
        <v>5</v>
      </c>
      <c r="B6" s="5" t="s">
        <v>6</v>
      </c>
      <c r="C6" s="6" t="s">
        <v>7</v>
      </c>
      <c r="D6" s="6"/>
    </row>
    <row r="7" customFormat="false" ht="15" hidden="false" customHeight="false" outlineLevel="0" collapsed="false">
      <c r="A7" s="4" t="s">
        <v>8</v>
      </c>
      <c r="B7" s="7" t="n">
        <v>530000</v>
      </c>
      <c r="C7" s="6" t="s">
        <v>9</v>
      </c>
      <c r="D7" s="6" t="s">
        <v>10</v>
      </c>
    </row>
    <row r="8" customFormat="false" ht="15" hidden="false" customHeight="false" outlineLevel="0" collapsed="false">
      <c r="A8" s="4" t="s">
        <v>11</v>
      </c>
      <c r="B8" s="8" t="n">
        <v>46173</v>
      </c>
      <c r="C8" s="6" t="s">
        <v>12</v>
      </c>
      <c r="D8" s="6" t="s">
        <v>13</v>
      </c>
    </row>
    <row r="9" customFormat="false" ht="15" hidden="false" customHeight="false" outlineLevel="0" collapsed="false">
      <c r="A9" s="4" t="s">
        <v>14</v>
      </c>
      <c r="B9" s="8" t="n">
        <v>46721</v>
      </c>
      <c r="C9" s="6" t="s">
        <v>15</v>
      </c>
      <c r="D9" s="6" t="s">
        <v>13</v>
      </c>
    </row>
    <row r="10" customFormat="false" ht="15" hidden="false" customHeight="false" outlineLevel="0" collapsed="false">
      <c r="A10" s="4" t="s">
        <v>16</v>
      </c>
      <c r="B10" s="8" t="n">
        <v>46112</v>
      </c>
      <c r="C10" s="6" t="s">
        <v>17</v>
      </c>
      <c r="D10" s="6" t="s">
        <v>13</v>
      </c>
    </row>
    <row r="12" customFormat="false" ht="15" hidden="false" customHeight="false" outlineLevel="0" collapsed="false">
      <c r="A12" s="3" t="s">
        <v>18</v>
      </c>
      <c r="B12" s="3"/>
      <c r="C12" s="3"/>
      <c r="D12" s="3"/>
      <c r="E12" s="3"/>
      <c r="F12" s="3"/>
      <c r="G12" s="3"/>
      <c r="H12" s="3"/>
    </row>
    <row r="13" customFormat="false" ht="15" hidden="false" customHeight="false" outlineLevel="0" collapsed="false">
      <c r="A13" s="4" t="s">
        <v>19</v>
      </c>
      <c r="B13" s="5" t="s">
        <v>20</v>
      </c>
      <c r="C13" s="6"/>
      <c r="D13" s="6"/>
    </row>
    <row r="14" customFormat="false" ht="15" hidden="false" customHeight="false" outlineLevel="0" collapsed="false">
      <c r="A14" s="4" t="s">
        <v>21</v>
      </c>
      <c r="B14" s="9" t="n">
        <v>0.05</v>
      </c>
      <c r="C14" s="6" t="s">
        <v>22</v>
      </c>
      <c r="D14" s="6" t="s">
        <v>23</v>
      </c>
    </row>
    <row r="15" customFormat="false" ht="15" hidden="false" customHeight="false" outlineLevel="0" collapsed="false">
      <c r="A15" s="4" t="s">
        <v>24</v>
      </c>
      <c r="B15" s="5" t="s">
        <v>25</v>
      </c>
      <c r="C15" s="6"/>
      <c r="D15" s="6"/>
    </row>
    <row r="16" customFormat="false" ht="15" hidden="false" customHeight="false" outlineLevel="0" collapsed="false">
      <c r="A16" s="4" t="s">
        <v>26</v>
      </c>
      <c r="B16" s="5" t="s">
        <v>27</v>
      </c>
      <c r="C16" s="6"/>
      <c r="D16" s="6"/>
    </row>
    <row r="17" customFormat="false" ht="15" hidden="false" customHeight="false" outlineLevel="0" collapsed="false">
      <c r="A17" s="4" t="s">
        <v>28</v>
      </c>
      <c r="B17" s="5" t="s">
        <v>29</v>
      </c>
      <c r="C17" s="6"/>
      <c r="D17" s="6"/>
    </row>
    <row r="18" customFormat="false" ht="15" hidden="false" customHeight="false" outlineLevel="0" collapsed="false">
      <c r="A18" s="4" t="s">
        <v>30</v>
      </c>
      <c r="B18" s="5" t="s">
        <v>31</v>
      </c>
      <c r="C18" s="6"/>
      <c r="D18" s="6"/>
    </row>
    <row r="20" customFormat="false" ht="15" hidden="false" customHeight="false" outlineLevel="0" collapsed="false">
      <c r="A20" s="3" t="s">
        <v>32</v>
      </c>
      <c r="B20" s="3"/>
      <c r="C20" s="3"/>
      <c r="D20" s="3"/>
      <c r="E20" s="3"/>
      <c r="F20" s="3"/>
      <c r="G20" s="3"/>
      <c r="H20" s="3"/>
    </row>
    <row r="21" customFormat="false" ht="15" hidden="false" customHeight="false" outlineLevel="0" collapsed="false">
      <c r="A21" s="4" t="s">
        <v>19</v>
      </c>
      <c r="B21" s="5" t="s">
        <v>33</v>
      </c>
      <c r="C21" s="6"/>
      <c r="D21" s="6"/>
    </row>
    <row r="22" customFormat="false" ht="15" hidden="false" customHeight="false" outlineLevel="0" collapsed="false">
      <c r="A22" s="4" t="s">
        <v>34</v>
      </c>
      <c r="B22" s="5" t="s">
        <v>35</v>
      </c>
      <c r="C22" s="6"/>
      <c r="D22" s="6"/>
    </row>
    <row r="23" customFormat="false" ht="15" hidden="false" customHeight="false" outlineLevel="0" collapsed="false">
      <c r="A23" s="4" t="s">
        <v>36</v>
      </c>
      <c r="B23" s="5" t="s">
        <v>37</v>
      </c>
      <c r="C23" s="6"/>
      <c r="D23" s="6"/>
    </row>
    <row r="24" customFormat="false" ht="15" hidden="false" customHeight="false" outlineLevel="0" collapsed="false">
      <c r="A24" s="4" t="s">
        <v>38</v>
      </c>
      <c r="B24" s="10" t="n">
        <v>10</v>
      </c>
      <c r="C24" s="6" t="s">
        <v>39</v>
      </c>
      <c r="D24" s="6" t="s">
        <v>40</v>
      </c>
    </row>
    <row r="25" customFormat="false" ht="15" hidden="false" customHeight="false" outlineLevel="0" collapsed="false">
      <c r="A25" s="4" t="s">
        <v>41</v>
      </c>
      <c r="B25" s="10" t="n">
        <v>1</v>
      </c>
      <c r="C25" s="6" t="s">
        <v>42</v>
      </c>
      <c r="D25" s="6" t="s">
        <v>43</v>
      </c>
    </row>
    <row r="26" customFormat="false" ht="15" hidden="false" customHeight="false" outlineLevel="0" collapsed="false">
      <c r="A26" s="4" t="s">
        <v>44</v>
      </c>
      <c r="B26" s="5" t="s">
        <v>45</v>
      </c>
      <c r="C26" s="6"/>
      <c r="D26" s="6"/>
    </row>
    <row r="27" customFormat="false" ht="15" hidden="false" customHeight="false" outlineLevel="0" collapsed="false">
      <c r="A27" s="4" t="s">
        <v>24</v>
      </c>
      <c r="B27" s="5" t="s">
        <v>25</v>
      </c>
      <c r="C27" s="6"/>
      <c r="D27" s="6"/>
    </row>
    <row r="28" customFormat="false" ht="15" hidden="false" customHeight="false" outlineLevel="0" collapsed="false">
      <c r="A28" s="4" t="s">
        <v>26</v>
      </c>
      <c r="B28" s="5" t="s">
        <v>27</v>
      </c>
      <c r="C28" s="6"/>
      <c r="D28" s="6"/>
    </row>
    <row r="29" customFormat="false" ht="15" hidden="false" customHeight="false" outlineLevel="0" collapsed="false">
      <c r="A29" s="4" t="s">
        <v>28</v>
      </c>
      <c r="B29" s="5" t="s">
        <v>29</v>
      </c>
      <c r="C29" s="6"/>
      <c r="D29" s="6"/>
    </row>
    <row r="30" customFormat="false" ht="28.35" hidden="false" customHeight="false" outlineLevel="0" collapsed="false">
      <c r="A30" s="4" t="s">
        <v>46</v>
      </c>
      <c r="B30" s="5" t="s">
        <v>31</v>
      </c>
      <c r="C30" s="6" t="s">
        <v>47</v>
      </c>
      <c r="D30" s="6"/>
    </row>
    <row r="31" customFormat="false" ht="15" hidden="false" customHeight="false" outlineLevel="0" collapsed="false">
      <c r="A31" s="4" t="s">
        <v>48</v>
      </c>
      <c r="B31" s="5" t="s">
        <v>49</v>
      </c>
      <c r="C31" s="6"/>
      <c r="D31" s="6"/>
    </row>
    <row r="32" customFormat="false" ht="15" hidden="false" customHeight="false" outlineLevel="0" collapsed="false">
      <c r="A32" s="4" t="s">
        <v>50</v>
      </c>
      <c r="B32" s="11" t="n">
        <v>0</v>
      </c>
      <c r="C32" s="6"/>
      <c r="D32" s="6" t="s">
        <v>51</v>
      </c>
    </row>
    <row r="33" customFormat="false" ht="15" hidden="false" customHeight="false" outlineLevel="0" collapsed="false">
      <c r="A33" s="4" t="s">
        <v>52</v>
      </c>
      <c r="B33" s="5" t="s">
        <v>50</v>
      </c>
      <c r="C33" s="6" t="s">
        <v>53</v>
      </c>
      <c r="D33" s="6"/>
    </row>
    <row r="34" customFormat="false" ht="15" hidden="false" customHeight="false" outlineLevel="0" collapsed="false">
      <c r="A34" s="4" t="s">
        <v>54</v>
      </c>
      <c r="B34" s="11" t="n">
        <v>1</v>
      </c>
      <c r="C34" s="6"/>
      <c r="D34" s="6" t="s">
        <v>51</v>
      </c>
    </row>
    <row r="35" customFormat="false" ht="15" hidden="false" customHeight="false" outlineLevel="0" collapsed="false">
      <c r="A35" s="4" t="s">
        <v>55</v>
      </c>
      <c r="B35" s="5" t="s">
        <v>56</v>
      </c>
      <c r="C35" s="6"/>
      <c r="D35" s="6"/>
    </row>
    <row r="36" customFormat="false" ht="15" hidden="false" customHeight="false" outlineLevel="0" collapsed="false">
      <c r="A36" s="4" t="s">
        <v>57</v>
      </c>
      <c r="B36" s="5" t="s">
        <v>58</v>
      </c>
      <c r="C36" s="6"/>
      <c r="D36" s="6"/>
    </row>
    <row r="38" customFormat="false" ht="15" hidden="false" customHeight="false" outlineLevel="0" collapsed="false">
      <c r="A38" s="3" t="s">
        <v>59</v>
      </c>
      <c r="B38" s="3"/>
      <c r="C38" s="3"/>
      <c r="D38" s="3"/>
      <c r="E38" s="3"/>
      <c r="F38" s="3"/>
      <c r="G38" s="3"/>
      <c r="H38" s="3"/>
    </row>
    <row r="39" customFormat="false" ht="15" hidden="false" customHeight="false" outlineLevel="0" collapsed="false">
      <c r="A39" s="4" t="s">
        <v>60</v>
      </c>
      <c r="B39" s="5" t="s">
        <v>61</v>
      </c>
      <c r="C39" s="6"/>
      <c r="D39" s="6"/>
    </row>
    <row r="40" customFormat="false" ht="28.35" hidden="false" customHeight="false" outlineLevel="0" collapsed="false">
      <c r="A40" s="4" t="s">
        <v>62</v>
      </c>
      <c r="B40" s="5" t="s">
        <v>63</v>
      </c>
      <c r="C40" s="6" t="s">
        <v>64</v>
      </c>
      <c r="D40" s="6"/>
    </row>
    <row r="42" customFormat="false" ht="15" hidden="false" customHeight="false" outlineLevel="0" collapsed="false">
      <c r="A42" s="12" t="s">
        <v>65</v>
      </c>
      <c r="B42" s="12"/>
      <c r="C42" s="12"/>
      <c r="D42" s="12"/>
      <c r="E42" s="12"/>
      <c r="F42" s="12"/>
      <c r="G42" s="12"/>
      <c r="H42" s="12"/>
    </row>
    <row r="43" customFormat="false" ht="28.35" hidden="false" customHeight="false" outlineLevel="0" collapsed="false">
      <c r="A43" s="13" t="s">
        <v>66</v>
      </c>
      <c r="B43" s="13" t="s">
        <v>11</v>
      </c>
      <c r="C43" s="13" t="s">
        <v>67</v>
      </c>
      <c r="D43" s="13" t="s">
        <v>68</v>
      </c>
      <c r="E43" s="13" t="s">
        <v>8</v>
      </c>
      <c r="F43" s="13" t="s">
        <v>69</v>
      </c>
      <c r="G43" s="13" t="s">
        <v>70</v>
      </c>
      <c r="H43" s="13" t="s">
        <v>71</v>
      </c>
    </row>
    <row r="44" customFormat="false" ht="15" hidden="false" customHeight="false" outlineLevel="0" collapsed="false">
      <c r="A44" s="6" t="n">
        <v>1</v>
      </c>
      <c r="B44" s="8" t="n">
        <v>46173</v>
      </c>
      <c r="C44" s="8" t="n">
        <v>46535</v>
      </c>
      <c r="D44" s="8" t="n">
        <v>46535</v>
      </c>
      <c r="E44" s="7" t="n">
        <v>530000</v>
      </c>
      <c r="F44" s="14"/>
      <c r="G44" s="7" t="n">
        <v>0</v>
      </c>
      <c r="H44" s="5"/>
    </row>
    <row r="45" customFormat="false" ht="15" hidden="false" customHeight="false" outlineLevel="0" collapsed="false">
      <c r="A45" s="6" t="n">
        <v>2</v>
      </c>
      <c r="B45" s="8" t="n">
        <v>46535</v>
      </c>
      <c r="C45" s="8" t="n">
        <v>46721</v>
      </c>
      <c r="D45" s="8" t="n">
        <v>46721</v>
      </c>
      <c r="E45" s="7" t="n">
        <v>265000</v>
      </c>
      <c r="F45" s="14"/>
      <c r="G45" s="7" t="n">
        <v>265000</v>
      </c>
      <c r="H45" s="5"/>
    </row>
    <row r="46" customFormat="false" ht="15" hidden="false" customHeight="false" outlineLevel="0" collapsed="false">
      <c r="A46" s="6" t="n">
        <v>3</v>
      </c>
      <c r="B46" s="8"/>
      <c r="C46" s="8"/>
      <c r="D46" s="8"/>
      <c r="E46" s="7"/>
      <c r="F46" s="14"/>
      <c r="G46" s="7"/>
      <c r="H46" s="5"/>
    </row>
    <row r="47" customFormat="false" ht="15" hidden="false" customHeight="false" outlineLevel="0" collapsed="false">
      <c r="A47" s="6" t="n">
        <v>4</v>
      </c>
      <c r="B47" s="8"/>
      <c r="C47" s="8"/>
      <c r="D47" s="8"/>
      <c r="E47" s="7"/>
      <c r="F47" s="14"/>
      <c r="G47" s="7"/>
      <c r="H47" s="5"/>
    </row>
    <row r="48" customFormat="false" ht="15" hidden="false" customHeight="false" outlineLevel="0" collapsed="false">
      <c r="A48" s="6" t="n">
        <v>5</v>
      </c>
      <c r="B48" s="8"/>
      <c r="C48" s="8"/>
      <c r="D48" s="8"/>
      <c r="E48" s="7"/>
      <c r="F48" s="14"/>
      <c r="G48" s="7"/>
      <c r="H48" s="5"/>
    </row>
    <row r="49" customFormat="false" ht="15" hidden="false" customHeight="false" outlineLevel="0" collapsed="false">
      <c r="A49" s="6" t="n">
        <v>6</v>
      </c>
      <c r="B49" s="8"/>
      <c r="C49" s="8"/>
      <c r="D49" s="8"/>
      <c r="E49" s="7"/>
      <c r="F49" s="14"/>
      <c r="G49" s="7"/>
      <c r="H49" s="5"/>
    </row>
    <row r="50" customFormat="false" ht="15" hidden="false" customHeight="false" outlineLevel="0" collapsed="false">
      <c r="A50" s="6" t="n">
        <v>7</v>
      </c>
      <c r="B50" s="8"/>
      <c r="C50" s="8"/>
      <c r="D50" s="8"/>
      <c r="E50" s="7"/>
      <c r="F50" s="14"/>
      <c r="G50" s="7"/>
      <c r="H50" s="5"/>
    </row>
    <row r="51" customFormat="false" ht="15" hidden="false" customHeight="false" outlineLevel="0" collapsed="false">
      <c r="A51" s="6" t="n">
        <v>8</v>
      </c>
      <c r="B51" s="8"/>
      <c r="C51" s="8"/>
      <c r="D51" s="8"/>
      <c r="E51" s="7"/>
      <c r="F51" s="14"/>
      <c r="G51" s="7"/>
      <c r="H51" s="5"/>
    </row>
    <row r="52" customFormat="false" ht="15" hidden="false" customHeight="false" outlineLevel="0" collapsed="false">
      <c r="A52" s="6" t="n">
        <v>9</v>
      </c>
      <c r="B52" s="8"/>
      <c r="C52" s="8"/>
      <c r="D52" s="8"/>
      <c r="E52" s="7"/>
      <c r="F52" s="14"/>
      <c r="G52" s="7"/>
      <c r="H52" s="5"/>
    </row>
    <row r="53" customFormat="false" ht="15" hidden="false" customHeight="false" outlineLevel="0" collapsed="false">
      <c r="A53" s="6" t="n">
        <v>10</v>
      </c>
      <c r="B53" s="8"/>
      <c r="C53" s="8"/>
      <c r="D53" s="8"/>
      <c r="E53" s="7"/>
      <c r="F53" s="14"/>
      <c r="G53" s="7"/>
      <c r="H53" s="5"/>
    </row>
    <row r="54" customFormat="false" ht="15" hidden="false" customHeight="false" outlineLevel="0" collapsed="false">
      <c r="A54" s="6" t="n">
        <v>11</v>
      </c>
      <c r="B54" s="8"/>
      <c r="C54" s="8"/>
      <c r="D54" s="8"/>
      <c r="E54" s="7"/>
      <c r="F54" s="14"/>
      <c r="G54" s="7"/>
      <c r="H54" s="5"/>
    </row>
    <row r="55" customFormat="false" ht="15" hidden="false" customHeight="false" outlineLevel="0" collapsed="false">
      <c r="A55" s="6" t="n">
        <v>12</v>
      </c>
      <c r="B55" s="8"/>
      <c r="C55" s="8"/>
      <c r="D55" s="8"/>
      <c r="E55" s="7"/>
      <c r="F55" s="14"/>
      <c r="G55" s="7"/>
      <c r="H55" s="5"/>
    </row>
    <row r="56" customFormat="false" ht="15" hidden="false" customHeight="false" outlineLevel="0" collapsed="false">
      <c r="A56" s="6" t="n">
        <v>13</v>
      </c>
      <c r="B56" s="8"/>
      <c r="C56" s="8"/>
      <c r="D56" s="8"/>
      <c r="E56" s="7"/>
      <c r="F56" s="14"/>
      <c r="G56" s="7"/>
      <c r="H56" s="5"/>
    </row>
    <row r="57" customFormat="false" ht="15" hidden="false" customHeight="false" outlineLevel="0" collapsed="false">
      <c r="A57" s="6" t="n">
        <v>14</v>
      </c>
      <c r="B57" s="8"/>
      <c r="C57" s="8"/>
      <c r="D57" s="8"/>
      <c r="E57" s="7"/>
      <c r="F57" s="14"/>
      <c r="G57" s="7"/>
      <c r="H57" s="5"/>
    </row>
    <row r="58" customFormat="false" ht="15" hidden="false" customHeight="false" outlineLevel="0" collapsed="false">
      <c r="A58" s="6" t="n">
        <v>15</v>
      </c>
      <c r="B58" s="8"/>
      <c r="C58" s="8"/>
      <c r="D58" s="8"/>
      <c r="E58" s="7"/>
      <c r="F58" s="14"/>
      <c r="G58" s="7"/>
      <c r="H58" s="5"/>
    </row>
    <row r="60" customFormat="false" ht="15" hidden="false" customHeight="false" outlineLevel="0" collapsed="false">
      <c r="A60" s="3" t="s">
        <v>72</v>
      </c>
      <c r="B60" s="3"/>
      <c r="C60" s="3"/>
      <c r="D60" s="3"/>
      <c r="E60" s="3"/>
      <c r="F60" s="3"/>
      <c r="G60" s="3"/>
      <c r="H60" s="3"/>
    </row>
    <row r="61" customFormat="false" ht="15" hidden="false" customHeight="false" outlineLevel="0" collapsed="false">
      <c r="A61" s="4" t="s">
        <v>73</v>
      </c>
      <c r="B61" s="5" t="s">
        <v>74</v>
      </c>
      <c r="C61" s="6" t="s">
        <v>75</v>
      </c>
      <c r="D61" s="6"/>
    </row>
    <row r="62" customFormat="false" ht="28.35" hidden="false" customHeight="false" outlineLevel="0" collapsed="false">
      <c r="A62" s="4" t="s">
        <v>76</v>
      </c>
      <c r="B62" s="15" t="str">
        <f aca="false">IF(OR(B10="",B6=""),"","market_data/"&amp;TEXT(B10,"yyyy-mm-dd")&amp;"/"&amp;B6&amp;"/")</f>
        <v>market_data/2026-03-31/USD/</v>
      </c>
      <c r="C62" s="6" t="s">
        <v>77</v>
      </c>
      <c r="D62" s="6" t="s">
        <v>78</v>
      </c>
    </row>
    <row r="63" customFormat="false" ht="15" hidden="false" customHeight="false" outlineLevel="0" collapsed="false">
      <c r="A63" s="4" t="s">
        <v>79</v>
      </c>
      <c r="B63" s="5" t="s">
        <v>80</v>
      </c>
      <c r="C63" s="6" t="s">
        <v>81</v>
      </c>
      <c r="D63" s="6"/>
    </row>
    <row r="64" customFormat="false" ht="28.35" hidden="false" customHeight="false" outlineLevel="0" collapsed="false">
      <c r="A64" s="4" t="s">
        <v>82</v>
      </c>
      <c r="B64" s="5"/>
      <c r="C64" s="6" t="s">
        <v>83</v>
      </c>
      <c r="D64" s="6"/>
    </row>
    <row r="65" customFormat="false" ht="15" hidden="false" customHeight="false" outlineLevel="0" collapsed="false">
      <c r="A65" s="4" t="s">
        <v>84</v>
      </c>
      <c r="B65" s="8"/>
      <c r="C65" s="6" t="s">
        <v>85</v>
      </c>
      <c r="D65" s="6" t="s">
        <v>13</v>
      </c>
    </row>
    <row r="66" customFormat="false" ht="28.35" hidden="false" customHeight="false" outlineLevel="0" collapsed="false">
      <c r="A66" s="4" t="s">
        <v>86</v>
      </c>
      <c r="B66" s="5" t="s">
        <v>87</v>
      </c>
      <c r="C66" s="6" t="s">
        <v>88</v>
      </c>
      <c r="D66" s="6"/>
    </row>
  </sheetData>
  <mergeCells count="8">
    <mergeCell ref="A1:H1"/>
    <mergeCell ref="A2:H2"/>
    <mergeCell ref="A4:H4"/>
    <mergeCell ref="A12:H12"/>
    <mergeCell ref="A20:H20"/>
    <mergeCell ref="A38:H38"/>
    <mergeCell ref="A42:H42"/>
    <mergeCell ref="A60:H60"/>
  </mergeCells>
  <dataValidations count="20">
    <dataValidation allowBlank="true" errorStyle="stop" operator="between" showDropDown="false" showErrorMessage="false" showInputMessage="false" sqref="B6" type="list">
      <formula1>"USD,CHF,JPY,INR"</formula1>
      <formula2>0</formula2>
    </dataValidation>
    <dataValidation allowBlank="true" errorStyle="stop" operator="between" showDropDown="false" showErrorMessage="false" showInputMessage="false" sqref="B13" type="list">
      <formula1>"Pay,Receive"</formula1>
      <formula2>0</formula2>
    </dataValidation>
    <dataValidation allowBlank="true" errorStyle="stop" operator="between" showDropDown="false" showErrorMessage="false" showInputMessage="false" sqref="B15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16" type="list">
      <formula1>"ACT/360,ACT/365,30/360"</formula1>
      <formula2>0</formula2>
    </dataValidation>
    <dataValidation allowBlank="true" errorStyle="stop" operator="between" showDropDown="false" showErrorMessage="false" showInputMessage="false" sqref="B17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21" type="list">
      <formula1>"Pay,Receive"</formula1>
      <formula2>0</formula2>
    </dataValidation>
    <dataValidation allowBlank="true" errorStyle="stop" operator="between" showDropDown="false" showErrorMessage="false" showInputMessage="false" sqref="B22" type="list">
      <formula1>"SOFR,SARON,TONAR,INR OIS"</formula1>
      <formula2>0</formula2>
    </dataValidation>
    <dataValidation allowBlank="true" errorStyle="stop" operator="between" showDropDown="false" showErrorMessage="false" showInputMessage="false" sqref="B23" type="list">
      <formula1>"1D,6M,3M,1Y"</formula1>
      <formula2>0</formula2>
    </dataValidation>
    <dataValidation allowBlank="true" errorStyle="stop" operator="between" showDropDown="false" showErrorMessage="false" showInputMessage="false" sqref="B26" type="list">
      <formula1>"Daily,Monthly,Quarterly,Semiannual,Annual"</formula1>
      <formula2>0</formula2>
    </dataValidation>
    <dataValidation allowBlank="true" errorStyle="stop" operator="between" showDropDown="false" showErrorMessage="false" showInputMessage="false" sqref="B27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28" type="list">
      <formula1>"ACT/360,ACT/365,30/360"</formula1>
      <formula2>0</formula2>
    </dataValidation>
    <dataValidation allowBlank="true" errorStyle="stop" operator="between" showDropDown="false" showErrorMessage="false" showInputMessage="false" sqref="B31" type="list">
      <formula1>"In Arrears,In Advance"</formula1>
      <formula2>0</formula2>
    </dataValidation>
    <dataValidation allowBlank="true" errorStyle="stop" operator="between" showDropDown="false" showErrorMessage="false" showInputMessage="false" sqref="B35" type="list">
      <formula1>"Daily Compounded,Simple"</formula1>
      <formula2>0</formula2>
    </dataValidation>
    <dataValidation allowBlank="true" errorStyle="stop" operator="between" showDropDown="false" showErrorMessage="false" showInputMessage="false" sqref="B36" type="list">
      <formula1>"Exclude Spread,Compound Spread"</formula1>
      <formula2>0</formula2>
    </dataValidation>
    <dataValidation allowBlank="true" errorStyle="stop" operator="between" showDropDown="false" showErrorMessage="false" showInputMessage="false" sqref="B39" type="list">
      <formula1>"Never,At Start,At End,Start &amp; End"</formula1>
      <formula2>0</formula2>
    </dataValidation>
    <dataValidation allowBlank="true" errorStyle="stop" operator="between" showDropDown="false" showErrorMessage="false" showInputMessage="false" sqref="B40" type="list">
      <formula1>"Custom Schedule,Percentage per Period,Bullet / No Amortisation"</formula1>
      <formula2>0</formula2>
    </dataValidation>
    <dataValidation allowBlank="true" errorStyle="stop" operator="between" showDropDown="false" showErrorMessage="false" showInputMessage="false" sqref="B61" type="list">
      <formula1>"USD SOFR,CHF SARON,JPY TONAR,INR OIS"</formula1>
      <formula2>0</formula2>
    </dataValidation>
    <dataValidation allowBlank="true" errorStyle="stop" operator="between" showDropDown="false" showErrorMessage="false" showInputMessage="false" sqref="B66" type="list">
      <formula1>"Log Linear,Linear,Piecewise Linear (Cont)"</formula1>
      <formula2>0</formula2>
    </dataValidation>
    <dataValidation allowBlank="true" errorStyle="stop" operator="between" showDropDown="false" showErrorMessage="false" showInputMessage="false" sqref="B29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33" type="list">
      <formula1>"Lookback"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2026-10-19T08:27:32Z</dcterms:created>
  <dc:creator>openpyxl</dc:creator>
  <dc:description/>
  <dc:language>en-US</dc:language>
  <cp:lastModifiedBy/>
  <dcterms:modified xsi:type="dcterms:W3CDTF">2026-10-21T12:42:12Z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